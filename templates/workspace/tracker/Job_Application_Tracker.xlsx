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9416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pplications" sheetId="2" state="visible" r:id="rId2"/>
  </sheets>
  <definedNames>
    <definedName name="_xlnm._FilterDatabase" localSheetId="1" hidden="1">'Applications'!$A$1:$V$1000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\-mm\-dd"/>
    <numFmt numFmtId="166" formatCode="yyyy-mm-dd"/>
  </numFmts>
  <fonts count="8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i val="1"/>
      <color rgb="FF7F7F7F"/>
      <sz val="11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b val="1"/>
      <color rgb="FF1F3864"/>
      <sz val="13"/>
    </font>
    <font>
      <name val="Arial"/>
      <charset val="1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DDEBF7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63BE7B"/>
        <bgColor rgb="FF878787"/>
      </patternFill>
    </fill>
    <fill>
      <patternFill patternType="solid">
        <fgColor rgb="FFF8CBAD"/>
        <bgColor rgb="FFF4B183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7F6000"/>
        <bgColor rgb="FF833C0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4" fillId="0" borderId="1" pivotButton="0" quotePrefix="0" xfId="0"/>
    <xf numFmtId="1" fontId="4" fillId="0" borderId="1" pivotButton="0" quotePrefix="0" xfId="0"/>
    <xf numFmtId="0" fontId="4" fillId="4" borderId="1" pivotButton="0" quotePrefix="0" xfId="0"/>
    <xf numFmtId="164" fontId="4" fillId="0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5" fillId="0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165" fontId="2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166" fontId="2" fillId="0" borderId="0" pivotButton="0" quotePrefix="0" xfId="0"/>
  </cellXfs>
  <cellStyles count="1">
    <cellStyle name="Normal" xfId="0" builtinId="0"/>
  </cellStyles>
  <dxfs count="9">
    <dxf>
      <font>
        <b val="1"/>
        <color rgb="FF833C0B"/>
      </font>
      <fill>
        <patternFill>
          <bgColor rgb="FFF4B183"/>
        </patternFill>
      </fill>
    </dxf>
    <dxf>
      <font>
        <color rgb="FF808080"/>
      </font>
      <fill>
        <patternFill>
          <bgColor rgb="FFEDEDED"/>
        </patternFill>
      </fill>
    </dxf>
    <dxf>
      <font>
        <color rgb="FF595959"/>
      </font>
      <fill>
        <patternFill>
          <bgColor rgb="FFE7E6E6"/>
        </patternFill>
      </fill>
    </dxf>
    <dxf>
      <font>
        <color rgb="FF808080"/>
      </font>
      <fill>
        <patternFill>
          <bgColor rgb="FFEDEDED"/>
        </patternFill>
      </fill>
    </dxf>
    <dxf>
      <font>
        <color rgb="FF9C0006"/>
      </font>
      <fill>
        <patternFill>
          <bgColor rgb="FFF8CBAD"/>
        </patternFill>
      </fill>
    </dxf>
    <dxf>
      <font>
        <b val="1"/>
        <color rgb="FFFFFFFF"/>
      </font>
      <fill>
        <patternFill>
          <bgColor rgb="FF63BE7B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9F9F9"/>
      <rgbColor rgb="FFE7E6E6"/>
      <rgbColor rgb="FFF4B183"/>
      <rgbColor rgb="FFCC99FF"/>
      <rgbColor rgb="FFF8CBAD"/>
      <rgbColor rgb="FF4F81BD"/>
      <rgbColor rgb="FF63BE7B"/>
      <rgbColor rgb="FF99CC00"/>
      <rgbColor rgb="FFFFCC00"/>
      <rgbColor rgb="FFFF9900"/>
      <rgbColor rgb="FFFF6600"/>
      <rgbColor rgb="FF595959"/>
      <rgbColor rgb="FF878787"/>
      <rgbColor rgb="FF1F3864"/>
      <rgbColor rgb="FF7F7F7F"/>
      <rgbColor rgb="FF003300"/>
      <rgbColor rgb="FF333300"/>
      <rgbColor rgb="FF833C0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Applications by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Dashboard!$B$4</f>
              <strCache>
                <ptCount val="1"/>
                <pt idx="0">
                  <v>Count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de-DE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Dashboard!$A$5:$A$12</f>
              <strCache>
                <ptCount val="8"/>
                <pt idx="0">
                  <v>To review</v>
                </pt>
                <pt idx="1">
                  <v>Applied</v>
                </pt>
                <pt idx="2">
                  <v>Interview</v>
                </pt>
                <pt idx="3">
                  <v>Offer</v>
                </pt>
                <pt idx="4">
                  <v>Rejected</v>
                </pt>
                <pt idx="5">
                  <v>Skipped</v>
                </pt>
                <pt idx="6">
                  <v>Ghosted</v>
                </pt>
                <pt idx="7">
                  <v>Withdrawn</v>
                </pt>
              </strCache>
            </strRef>
          </cat>
          <val>
            <numRef>
              <f>Dashboard!$B$5:$B$12</f>
              <numCache>
                <formatCode>General</formatCode>
                <ptCount val="8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546168"/>
        <axId val="97923728"/>
      </barChart>
      <catAx>
        <axId val="20546168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de-DE"/>
          </a:p>
        </txPr>
        <crossAx val="97923728"/>
        <crosses val="autoZero"/>
        <auto val="1"/>
        <lblAlgn val="ctr"/>
        <lblOffset val="100"/>
        <noMultiLvlLbl val="0"/>
      </catAx>
      <valAx>
        <axId val="97923728"/>
        <scaling>
          <orientation val="minMax"/>
        </scaling>
        <delete val="0"/>
        <axPos val="b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de-DE"/>
          </a:p>
        </txPr>
        <crossAx val="2054616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18</row>
      <rowOff>130680</rowOff>
    </from>
    <to>
      <col>8</col>
      <colOff>543240</colOff>
      <row>27</row>
      <rowOff>163080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zoomScaleNormal="100" workbookViewId="0">
      <selection activeCell="A1" sqref="A1"/>
    </sheetView>
  </sheetViews>
  <sheetFormatPr baseColWidth="8" defaultColWidth="8.6640625" defaultRowHeight="14.4"/>
  <cols>
    <col width="16" customWidth="1" min="1" max="1"/>
    <col width="9" customWidth="1" min="2" max="2"/>
    <col width="3" customWidth="1" min="3" max="3"/>
    <col width="36" customWidth="1" min="4" max="4"/>
    <col width="10" customWidth="1" min="5" max="5"/>
    <col width="3" customWidth="1" min="6" max="6"/>
    <col width="19" customWidth="1" min="7" max="7"/>
    <col width="9" customWidth="1" min="8" max="9"/>
  </cols>
  <sheetData>
    <row r="1" ht="19.5" customHeight="1">
      <c r="A1" s="1" t="inlineStr">
        <is>
          <t>Job Application Dashboard</t>
        </is>
      </c>
    </row>
    <row r="2" ht="15" customHeight="1">
      <c r="A2" s="2" t="inlineStr">
        <is>
          <t>All values update automatically from the Applications sheet.</t>
        </is>
      </c>
    </row>
    <row r="4" ht="15" customHeight="1">
      <c r="A4" s="3" t="inlineStr">
        <is>
          <t>Status</t>
        </is>
      </c>
      <c r="B4" s="3" t="inlineStr">
        <is>
          <t>Count</t>
        </is>
      </c>
      <c r="D4" s="3" t="inlineStr">
        <is>
          <t>Key metric</t>
        </is>
      </c>
      <c r="E4" s="3" t="inlineStr">
        <is>
          <t>Value</t>
        </is>
      </c>
      <c r="G4" s="3" t="inlineStr">
        <is>
          <t>Source</t>
        </is>
      </c>
      <c r="H4" s="3" t="inlineStr">
        <is>
          <t>Found</t>
        </is>
      </c>
      <c r="I4" s="3" t="inlineStr">
        <is>
          <t>Applied</t>
        </is>
      </c>
    </row>
    <row r="5" ht="15" customHeight="1">
      <c r="A5" s="4" t="inlineStr">
        <is>
          <t>To review</t>
        </is>
      </c>
      <c r="B5" s="5">
        <f>COUNTIF(Applications!$C$2:$C$1000,A5)</f>
        <v/>
      </c>
      <c r="D5" s="5" t="inlineStr">
        <is>
          <t>Applications sent</t>
        </is>
      </c>
      <c r="E5" s="6">
        <f>B6+B7+B8+B9+B11</f>
        <v/>
      </c>
      <c r="G5" s="5" t="inlineStr">
        <is>
          <t>Arbeitnow</t>
        </is>
      </c>
      <c r="H5" s="5">
        <f>COUNTIF(Applications!$G$2:$G$1000,G5)</f>
        <v/>
      </c>
      <c r="I5" s="5">
        <f>COUNTIFS(Applications!$G$2:$G$1000,G5,Applications!$C$2:$C$1000,"&lt;&gt;To review",Applications!$C$2:$C$1000,"&lt;&gt;Skipped")</f>
        <v/>
      </c>
    </row>
    <row r="6" ht="15" customHeight="1">
      <c r="A6" s="7" t="inlineStr">
        <is>
          <t>Applied</t>
        </is>
      </c>
      <c r="B6" s="5">
        <f>COUNTIF(Applications!$C$2:$C$1000,A6)</f>
        <v/>
      </c>
      <c r="D6" s="5" t="inlineStr">
        <is>
          <t>Response rate</t>
        </is>
      </c>
      <c r="E6" s="8">
        <f>IFERROR((B7+B8+B9)/E5,0)</f>
        <v/>
      </c>
      <c r="G6" s="5" t="inlineStr">
        <is>
          <t>Arbeitsagentur</t>
        </is>
      </c>
      <c r="H6" s="5">
        <f>COUNTIF(Applications!$G$2:$G$1000,G6)</f>
        <v/>
      </c>
      <c r="I6" s="5">
        <f>COUNTIFS(Applications!$G$2:$G$1000,G6,Applications!$C$2:$C$1000,"&lt;&gt;To review",Applications!$C$2:$C$1000,"&lt;&gt;Skipped")</f>
        <v/>
      </c>
    </row>
    <row r="7" ht="15" customHeight="1">
      <c r="A7" s="9" t="inlineStr">
        <is>
          <t>Interview</t>
        </is>
      </c>
      <c r="B7" s="5">
        <f>COUNTIF(Applications!$C$2:$C$1000,A7)</f>
        <v/>
      </c>
      <c r="D7" s="5" t="inlineStr">
        <is>
          <t>Interview rate</t>
        </is>
      </c>
      <c r="E7" s="8">
        <f>IFERROR((B7+B8)/E5,0)</f>
        <v/>
      </c>
      <c r="G7" s="5" t="inlineStr">
        <is>
          <t>StepStone</t>
        </is>
      </c>
      <c r="H7" s="5">
        <f>COUNTIF(Applications!$G$2:$G$1000,G7)</f>
        <v/>
      </c>
      <c r="I7" s="5">
        <f>COUNTIFS(Applications!$G$2:$G$1000,G7,Applications!$C$2:$C$1000,"&lt;&gt;To review",Applications!$C$2:$C$1000,"&lt;&gt;Skipped")</f>
        <v/>
      </c>
    </row>
    <row r="8" ht="15" customHeight="1">
      <c r="A8" s="10" t="inlineStr">
        <is>
          <t>Offer</t>
        </is>
      </c>
      <c r="B8" s="5">
        <f>COUNTIF(Applications!$C$2:$C$1000,A8)</f>
        <v/>
      </c>
      <c r="D8" s="5" t="inlineStr">
        <is>
          <t>Sent in last 7 days</t>
        </is>
      </c>
      <c r="E8" s="6">
        <f>COUNTIFS(Applications!$Q$2:$Q$1000,"&gt;="&amp;(TODAY()-7))</f>
        <v/>
      </c>
      <c r="G8" s="5" t="inlineStr">
        <is>
          <t>XING</t>
        </is>
      </c>
      <c r="H8" s="5">
        <f>COUNTIF(Applications!$G$2:$G$1000,G8)</f>
        <v/>
      </c>
      <c r="I8" s="5">
        <f>COUNTIFS(Applications!$G$2:$G$1000,G8,Applications!$C$2:$C$1000,"&lt;&gt;To review",Applications!$C$2:$C$1000,"&lt;&gt;Skipped")</f>
        <v/>
      </c>
    </row>
    <row r="9" ht="15" customHeight="1">
      <c r="A9" s="11" t="inlineStr">
        <is>
          <t>Rejected</t>
        </is>
      </c>
      <c r="B9" s="5">
        <f>COUNTIF(Applications!$C$2:$C$1000,A9)</f>
        <v/>
      </c>
      <c r="D9" s="5" t="inlineStr">
        <is>
          <t>Follow-ups due (14+ days, no reply)</t>
        </is>
      </c>
      <c r="E9" s="6">
        <f>SUMPRODUCT((Applications!$C$2:$C$1000="Applied")*(Applications!$Q$2:$Q$1000&lt;&gt;"")*((TODAY()-Applications!$Q$2:$Q$1000)&gt;=14)*(Applications!$S$2:$S$1000=""))</f>
        <v/>
      </c>
      <c r="G9" s="5" t="inlineStr">
        <is>
          <t>LinkedIn</t>
        </is>
      </c>
      <c r="H9" s="5">
        <f>COUNTIF(Applications!$G$2:$G$1000,G9)</f>
        <v/>
      </c>
      <c r="I9" s="5">
        <f>COUNTIFS(Applications!$G$2:$G$1000,G9,Applications!$C$2:$C$1000,"&lt;&gt;To review",Applications!$C$2:$C$1000,"&lt;&gt;Skipped")</f>
        <v/>
      </c>
    </row>
    <row r="10" ht="15" customHeight="1">
      <c r="A10" s="12" t="inlineStr">
        <is>
          <t>Skipped</t>
        </is>
      </c>
      <c r="B10" s="5">
        <f>COUNTIF(Applications!$C$2:$C$1000,A10)</f>
        <v/>
      </c>
      <c r="D10" s="5" t="inlineStr">
        <is>
          <t>Waiting for my review</t>
        </is>
      </c>
      <c r="E10" s="6">
        <f>B5</f>
        <v/>
      </c>
      <c r="G10" s="5" t="inlineStr">
        <is>
          <t>Indeed</t>
        </is>
      </c>
      <c r="H10" s="5">
        <f>COUNTIF(Applications!$G$2:$G$1000,G10)</f>
        <v/>
      </c>
      <c r="I10" s="5">
        <f>COUNTIFS(Applications!$G$2:$G$1000,G10,Applications!$C$2:$C$1000,"&lt;&gt;To review",Applications!$C$2:$C$1000,"&lt;&gt;Skipped")</f>
        <v/>
      </c>
    </row>
    <row r="11" ht="15" customHeight="1">
      <c r="A11" s="13" t="inlineStr">
        <is>
          <t>Ghosted</t>
        </is>
      </c>
      <c r="B11" s="5">
        <f>COUNTIF(Applications!$C$2:$C$1000,A11)</f>
        <v/>
      </c>
      <c r="D11" s="5" t="inlineStr">
        <is>
          <t>Average fit score</t>
        </is>
      </c>
      <c r="E11" s="6">
        <f>IFERROR(AVERAGE(Applications!$H$2:$H$1000),0)</f>
        <v/>
      </c>
      <c r="G11" s="5" t="inlineStr">
        <is>
          <t>SAP Careers</t>
        </is>
      </c>
      <c r="H11" s="5">
        <f>COUNTIF(Applications!$G$2:$G$1000,G11)</f>
        <v/>
      </c>
      <c r="I11" s="5">
        <f>COUNTIFS(Applications!$G$2:$G$1000,G11,Applications!$C$2:$C$1000,"&lt;&gt;To review",Applications!$C$2:$C$1000,"&lt;&gt;Skipped")</f>
        <v/>
      </c>
    </row>
    <row r="12" ht="15" customHeight="1">
      <c r="A12" s="12" t="inlineStr">
        <is>
          <t>Withdrawn</t>
        </is>
      </c>
      <c r="B12" s="5">
        <f>COUNTIF(Applications!$C$2:$C$1000,A12)</f>
        <v/>
      </c>
      <c r="D12" s="5" t="inlineStr">
        <is>
          <t>Email applications</t>
        </is>
      </c>
      <c r="E12" s="6">
        <f>COUNTIF(Applications!$P$2:$P$1000,"Email")</f>
        <v/>
      </c>
      <c r="G12" s="5" t="inlineStr">
        <is>
          <t>EnglishJobs.de</t>
        </is>
      </c>
      <c r="H12" s="5">
        <f>COUNTIF(Applications!$G$2:$G$1000,G12)</f>
        <v/>
      </c>
      <c r="I12" s="5">
        <f>COUNTIFS(Applications!$G$2:$G$1000,G12,Applications!$C$2:$C$1000,"&lt;&gt;To review",Applications!$C$2:$C$1000,"&lt;&gt;Skipped")</f>
        <v/>
      </c>
    </row>
    <row r="13" ht="15" customHeight="1">
      <c r="A13" s="14" t="inlineStr">
        <is>
          <t>Total tracked</t>
        </is>
      </c>
      <c r="B13" s="14">
        <f>SUM(B5:B12)</f>
        <v/>
      </c>
      <c r="G13" s="5" t="inlineStr">
        <is>
          <t>GermanTechJobs.de</t>
        </is>
      </c>
      <c r="H13" s="5">
        <f>COUNTIF(Applications!$G$2:$G$1000,G13)</f>
        <v/>
      </c>
      <c r="I13" s="5">
        <f>COUNTIFS(Applications!$G$2:$G$1000,G13,Applications!$C$2:$C$1000,"&lt;&gt;To review",Applications!$C$2:$C$1000,"&lt;&gt;Skipped")</f>
        <v/>
      </c>
    </row>
    <row r="14" ht="15" customHeight="1">
      <c r="G14" s="5" t="inlineStr">
        <is>
          <t>Company site</t>
        </is>
      </c>
      <c r="H14" s="5">
        <f>COUNTIF(Applications!$G$2:$G$1000,G14)</f>
        <v/>
      </c>
      <c r="I14" s="5">
        <f>COUNTIFS(Applications!$G$2:$G$1000,G14,Applications!$C$2:$C$1000,"&lt;&gt;To review",Applications!$C$2:$C$1000,"&lt;&gt;Skipped")</f>
        <v/>
      </c>
    </row>
    <row r="15" ht="15" customHeight="1">
      <c r="G15" s="5" t="inlineStr">
        <is>
          <t>jobs.ch</t>
        </is>
      </c>
      <c r="H15" s="5">
        <f>COUNTIF(Applications!$G$2:$G$1000,G15)</f>
        <v/>
      </c>
      <c r="I15" s="5">
        <f>COUNTIFS(Applications!$G$2:$G$1000,G15,Applications!$C$2:$C$1000,"&lt;&gt;To review",Applications!$C$2:$C$1000,"&lt;&gt;Skipped")</f>
        <v/>
      </c>
    </row>
    <row r="16" ht="15" customHeight="1">
      <c r="G16" s="5" t="inlineStr">
        <is>
          <t>Manual</t>
        </is>
      </c>
      <c r="H16" s="5">
        <f>COUNTIF(Applications!$G$2:$G$1000,G16)</f>
        <v/>
      </c>
      <c r="I16" s="5">
        <f>COUNTIFS(Applications!$G$2:$G$1000,G16,Applications!$C$2:$C$1000,"&lt;&gt;To review",Applications!$C$2:$C$1000,"&lt;&gt;Skipped")</f>
        <v/>
      </c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zoomScaleNormal="100" workbookViewId="0">
      <pane xSplit="4" ySplit="1" topLeftCell="J2" activePane="bottomRight" state="frozen"/>
      <selection pane="topRight" activeCell="E1" sqref="E1"/>
      <selection pane="bottomLeft" activeCell="A2" sqref="A2"/>
      <selection pane="bottomRight" activeCell="K15" sqref="K15"/>
    </sheetView>
  </sheetViews>
  <sheetFormatPr baseColWidth="8" defaultColWidth="8.6640625" defaultRowHeight="14.4"/>
  <cols>
    <col width="14" customWidth="1" min="1" max="1"/>
    <col width="12" customWidth="1" min="2" max="2"/>
    <col width="13" customWidth="1" min="3" max="3"/>
    <col width="56.33203125" bestFit="1" customWidth="1" min="4" max="4"/>
    <col width="41.77734375" bestFit="1" customWidth="1" min="5" max="5"/>
    <col width="44.88671875" bestFit="1" customWidth="1" min="6" max="6"/>
    <col width="14" customWidth="1" min="7" max="7"/>
    <col width="9" customWidth="1" min="8" max="8"/>
    <col width="11" customWidth="1" min="9" max="9"/>
    <col width="40" customWidth="1" min="10" max="10"/>
    <col width="205.109375" bestFit="1" customWidth="1" min="11" max="11"/>
    <col width="94.21875" bestFit="1" customWidth="1" min="12" max="12"/>
    <col width="22" customWidth="1" min="13" max="13"/>
    <col width="24" customWidth="1" min="14" max="15"/>
    <col width="16" customWidth="1" min="16" max="16"/>
    <col width="12" customWidth="1" min="17" max="17"/>
    <col width="18" customWidth="1" min="18" max="18"/>
    <col width="12" customWidth="1" min="19" max="20"/>
    <col width="24" customWidth="1" min="21" max="21"/>
    <col width="36" customWidth="1" min="22" max="22"/>
  </cols>
  <sheetData>
    <row r="1" ht="31.5" customHeight="1">
      <c r="A1" s="15" t="inlineStr">
        <is>
          <t>Job ID</t>
        </is>
      </c>
      <c r="B1" s="15" t="inlineStr">
        <is>
          <t>Date</t>
        </is>
      </c>
      <c r="C1" s="15" t="inlineStr">
        <is>
          <t>Status</t>
        </is>
      </c>
      <c r="D1" s="15" t="inlineStr">
        <is>
          <t>Title</t>
        </is>
      </c>
      <c r="E1" s="15" t="inlineStr">
        <is>
          <t>Company</t>
        </is>
      </c>
      <c r="F1" s="15" t="inlineStr">
        <is>
          <t>Location</t>
        </is>
      </c>
      <c r="G1" s="15" t="inlineStr">
        <is>
          <t>Source</t>
        </is>
      </c>
      <c r="H1" s="15" t="inlineStr">
        <is>
          <t>Fit Score</t>
        </is>
      </c>
      <c r="I1" s="15" t="inlineStr">
        <is>
          <t>German Required</t>
        </is>
      </c>
      <c r="J1" s="15" t="inlineStr">
        <is>
          <t>Match Reasons</t>
        </is>
      </c>
      <c r="K1" s="15" t="inlineStr">
        <is>
          <t>Gaps</t>
        </is>
      </c>
      <c r="L1" s="15" t="inlineStr">
        <is>
          <t>Job URL</t>
        </is>
      </c>
      <c r="M1" s="15" t="inlineStr">
        <is>
          <t>Application Email</t>
        </is>
      </c>
      <c r="N1" s="15" t="inlineStr">
        <is>
          <t>CV Doc</t>
        </is>
      </c>
      <c r="O1" s="15" t="inlineStr">
        <is>
          <t>Cover Letter Doc</t>
        </is>
      </c>
      <c r="P1" s="15" t="inlineStr">
        <is>
          <t>Applied Via</t>
        </is>
      </c>
      <c r="Q1" s="15" t="inlineStr">
        <is>
          <t>Applied On</t>
        </is>
      </c>
      <c r="R1" s="16" t="inlineStr">
        <is>
          <t>Contact Person</t>
        </is>
      </c>
      <c r="S1" s="16" t="inlineStr">
        <is>
          <t>Response Date</t>
        </is>
      </c>
      <c r="T1" s="16" t="inlineStr">
        <is>
          <t>Interview Date</t>
        </is>
      </c>
      <c r="U1" s="16" t="inlineStr">
        <is>
          <t>Next Step</t>
        </is>
      </c>
      <c r="V1" s="16" t="inlineStr">
        <is>
          <t>Notes</t>
        </is>
      </c>
    </row>
    <row r="2" ht="26.2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</sheetData>
  <autoFilter ref="A1:V1000"/>
  <conditionalFormatting sqref="A2:V1000">
    <cfRule type="expression" priority="3" dxfId="8">
      <formula>$C2="To review"</formula>
    </cfRule>
    <cfRule type="expression" priority="4" dxfId="7">
      <formula>$C2="Applied"</formula>
    </cfRule>
    <cfRule type="expression" priority="5" dxfId="6">
      <formula>$C2="Interview"</formula>
    </cfRule>
    <cfRule type="expression" priority="6" dxfId="5">
      <formula>$C2="Offer"</formula>
    </cfRule>
    <cfRule type="expression" priority="7" dxfId="4">
      <formula>$C2="Rejected"</formula>
    </cfRule>
    <cfRule type="expression" priority="8" dxfId="1">
      <formula>$C2="Skipped"</formula>
    </cfRule>
    <cfRule type="expression" priority="9" dxfId="2">
      <formula>$C2="Ghosted"</formula>
    </cfRule>
    <cfRule type="expression" priority="10" dxfId="1">
      <formula>$C2="Withdrawn"</formula>
    </cfRule>
  </conditionalFormatting>
  <conditionalFormatting sqref="H2:H1000">
    <cfRule type="colorScale" priority="11">
      <colorScale>
        <cfvo type="num" val="40"/>
        <cfvo type="num" val="65"/>
        <cfvo type="num" val="90"/>
        <color rgb="FFF8696B"/>
        <color rgb="FFFFEB84"/>
        <color rgb="FF63BE7B"/>
      </colorScale>
    </cfRule>
  </conditionalFormatting>
  <conditionalFormatting sqref="Q2:Q1000">
    <cfRule type="expression" priority="2" dxfId="0">
      <formula>AND($C2="Applied",$Q2&lt;&gt;"",TODAY()-$Q2&gt;=14,$S2="")</formula>
    </cfRule>
  </conditionalFormatting>
  <dataValidations count="3">
    <dataValidation sqref="C2:C1000" showDropDown="0" showInputMessage="0" showErrorMessage="0" allowBlank="1" type="list">
      <formula1>"To review,Applied,Interview,Offer,Rejected,Skipped,Ghosted,Withdrawn"</formula1>
      <formula2>0</formula2>
    </dataValidation>
    <dataValidation sqref="I2:I1000" showDropDown="0" showInputMessage="0" showErrorMessage="0" allowBlank="1" type="list">
      <formula1>"none,basic,B2,C1+,unknown"</formula1>
      <formula2>0</formula2>
    </dataValidation>
    <dataValidation sqref="P2:P1000" showDropDown="0" showInputMessage="0" showErrorMessage="0" allowBlank="1" type="list">
      <formula1>"Portal,Email,Email (awaiting approval),LinkedIn,Referral,—"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language xmlns:dc="http://purl.org/dc/elements/1.1/">en-US</dc:language>
  <dcterms:created xmlns:dcterms="http://purl.org/dc/terms/" xmlns:xsi="http://www.w3.org/2001/XMLSchema-instance" xsi:type="dcterms:W3CDTF">2026-09-26T22:20:16Z</dcterms:created>
  <dcterms:modified xmlns:dcterms="http://purl.org/dc/terms/" xmlns:xsi="http://www.w3.org/2001/XMLSchema-instance" xsi:type="dcterms:W3CDTF">2026-10-22T08:55:41Z</dcterms:modified>
  <cp:lastModifiedBy/>
  <cp:revision>2</cp:revision>
</cp:coreProperties>
</file>